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t" sheetId="1" state="visible" r:id="rId3"/>
    <sheet name="Extra Th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<sst xmlns="http://schemas.openxmlformats.org/spreadsheetml/2006/main" count="455" uniqueCount="53">
  <si>
    <t xml:space="preserve">NAMES</t>
  </si>
  <si>
    <t xml:space="preserve">LAST NAMES</t>
  </si>
  <si>
    <t xml:space="preserve">Dates</t>
  </si>
  <si>
    <t xml:space="preserve">TOTAL</t>
  </si>
  <si>
    <t xml:space="preserve">DYLAN ALEXANDER</t>
  </si>
  <si>
    <t xml:space="preserve">ALVARADO PALACIOS</t>
  </si>
  <si>
    <t xml:space="preserve">N/A</t>
  </si>
  <si>
    <t xml:space="preserve">✔</t>
  </si>
  <si>
    <t xml:space="preserve">NELSON DAVID</t>
  </si>
  <si>
    <t xml:space="preserve">ANDINO MARTINEZ</t>
  </si>
  <si>
    <t xml:space="preserve">✔✔</t>
  </si>
  <si>
    <t xml:space="preserve">✔✔✔✔✔✔</t>
  </si>
  <si>
    <t xml:space="preserve">JILMAR JHOEL</t>
  </si>
  <si>
    <t xml:space="preserve">CALDERON CALVA</t>
  </si>
  <si>
    <t xml:space="preserve">✔✔✔</t>
  </si>
  <si>
    <t xml:space="preserve">✔✔✔✔</t>
  </si>
  <si>
    <t xml:space="preserve">ANDRES SEBASTIAN</t>
  </si>
  <si>
    <t xml:space="preserve">CARDENAS ERAZO</t>
  </si>
  <si>
    <t xml:space="preserve">✔✔✔✔✔✔✔</t>
  </si>
  <si>
    <t xml:space="preserve">✔✔✔✔✔</t>
  </si>
  <si>
    <t xml:space="preserve">KERLY ANDREINA</t>
  </si>
  <si>
    <t xml:space="preserve">CHUQUI AGUINDA</t>
  </si>
  <si>
    <t xml:space="preserve">CAMERON VICTORIA</t>
  </si>
  <si>
    <t xml:space="preserve">DIAZ CAIZALUISA</t>
  </si>
  <si>
    <t xml:space="preserve">LENIN ISAAC</t>
  </si>
  <si>
    <t xml:space="preserve">ERAZO CAMPOS</t>
  </si>
  <si>
    <t xml:space="preserve">✔✔✔✔✔✔✔✔✔✔✔✔</t>
  </si>
  <si>
    <t xml:space="preserve">CÉSAR LUIS</t>
  </si>
  <si>
    <t xml:space="preserve">GALARZA VILLALVA</t>
  </si>
  <si>
    <t xml:space="preserve">✔✔✔✔✔✔✔✔✔✔</t>
  </si>
  <si>
    <t xml:space="preserve">✔✔✔✔✔✔✔✔</t>
  </si>
  <si>
    <t xml:space="preserve">✔✔✔✔✔✔✔✔✔</t>
  </si>
  <si>
    <t xml:space="preserve">BRAYAN PATRICIO</t>
  </si>
  <si>
    <t xml:space="preserve">GUALOTUÑA AMAGUAYA</t>
  </si>
  <si>
    <t xml:space="preserve">✔✔✔✔✔✔✔✔✔✔✔✔✔</t>
  </si>
  <si>
    <t xml:space="preserve">GABRIEL ANTHONY</t>
  </si>
  <si>
    <t xml:space="preserve">MOLINA GALLEGOS</t>
  </si>
  <si>
    <t xml:space="preserve">RICARDO ANDRES</t>
  </si>
  <si>
    <t xml:space="preserve">MONGE MIÑO</t>
  </si>
  <si>
    <t xml:space="preserve">ALEJANDRO XAVIER</t>
  </si>
  <si>
    <t xml:space="preserve">OBANDO ZAPATA</t>
  </si>
  <si>
    <t xml:space="preserve">ESTEBAN ARIEL</t>
  </si>
  <si>
    <t xml:space="preserve">QUIROGA BENITEZ</t>
  </si>
  <si>
    <t xml:space="preserve">✔✔✔✔✔✔✔✔✔✔✔✔✔✔✔</t>
  </si>
  <si>
    <t xml:space="preserve">DAVID JOSUE</t>
  </si>
  <si>
    <t xml:space="preserve">RODRIGUEZ VILLARROEL</t>
  </si>
  <si>
    <t xml:space="preserve">ANGEL JEANPIERRE</t>
  </si>
  <si>
    <t xml:space="preserve">SABANDO MORA</t>
  </si>
  <si>
    <t xml:space="preserve">CARLOS ALEXANDER</t>
  </si>
  <si>
    <t xml:space="preserve">TORRES PINCAY</t>
  </si>
  <si>
    <t xml:space="preserve">EVELYN HAYDEE</t>
  </si>
  <si>
    <t xml:space="preserve">VILLARREAL SALGADO</t>
  </si>
  <si>
    <t xml:space="preserve">TOTAL P (1P)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</si>
</sst>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.00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Roboto"/>
      <family val="0"/>
      <charset val="1"/>
    </font>
    <font>
      <sz val="11"/>
      <color theme="1"/>
      <name val="Roboto"/>
      <family val="0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Escala de grises">
      <a:dk1>
        <a:srgbClr val="000000"/>
      </a:dk1>
      <a:lt1>
        <a:srgbClr val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" activeCellId="0" sqref="B1"/>
    </sheetView>
  </sheetViews>
  <sheetFormatPr defaultColWidth="11.4453125" defaultRowHeight="14.2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2.11"/>
    <col collapsed="false" customWidth="true" hidden="false" outlineLevel="0" max="21" min="3" style="1" width="3.67"/>
    <col collapsed="false" customWidth="true" hidden="false" outlineLevel="0" max="22" min="22" style="1" width="3.44"/>
    <col collapsed="false" customWidth="true" hidden="false" outlineLevel="0" max="23" min="23" style="1" width="4.67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3" t="n">
        <v>46118</v>
      </c>
      <c r="E1" s="3" t="n">
        <v>46120</v>
      </c>
      <c r="F1" s="3" t="n">
        <v>46121</v>
      </c>
      <c r="G1" s="3" t="n">
        <v>46122</v>
      </c>
      <c r="H1" s="3" t="n">
        <v>46123</v>
      </c>
      <c r="I1" s="3" t="n">
        <v>46125</v>
      </c>
      <c r="J1" s="3" t="n">
        <v>46127</v>
      </c>
      <c r="K1" s="3" t="n">
        <v>46129</v>
      </c>
      <c r="L1" s="3" t="n">
        <v>46132</v>
      </c>
      <c r="M1" s="3" t="n">
        <v>46133</v>
      </c>
      <c r="N1" s="3" t="n">
        <v>46134</v>
      </c>
      <c r="O1" s="3" t="n">
        <v>46136</v>
      </c>
      <c r="P1" s="3" t="n">
        <v>46139</v>
      </c>
      <c r="Q1" s="3" t="n">
        <v>46140</v>
      </c>
      <c r="R1" s="3" t="n">
        <v>46141</v>
      </c>
      <c r="S1" s="3" t="n">
        <v>46146</v>
      </c>
      <c r="T1" s="3" t="n">
        <v>46148</v>
      </c>
      <c r="U1" s="3" t="n">
        <v>46150</v>
      </c>
      <c r="V1" s="4" t="s">
        <v>3</v>
      </c>
      <c r="W1" s="5"/>
    </row>
    <row r="2" customFormat="false" ht="92.25" hidden="false" customHeight="true" outlineLevel="0" collapsed="false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" t="s">
        <v>3</v>
      </c>
    </row>
    <row r="3" customFormat="false" ht="15" hidden="false" customHeight="true" outlineLevel="0" collapsed="false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4"/>
    </row>
    <row r="4" customFormat="false" ht="14.25" hidden="false" customHeight="false" outlineLevel="0" collapsed="false">
      <c r="A4" s="6" t="s">
        <v>4</v>
      </c>
      <c r="B4" s="6" t="s">
        <v>5</v>
      </c>
      <c r="C4" s="7"/>
      <c r="D4" s="5"/>
      <c r="E4" s="5" t="s">
        <v>6</v>
      </c>
      <c r="F4" s="5"/>
      <c r="G4" s="5"/>
      <c r="H4" s="5" t="s">
        <v>7</v>
      </c>
      <c r="I4" s="5" t="s">
        <v>7</v>
      </c>
      <c r="J4" s="5" t="s">
        <v>6</v>
      </c>
      <c r="K4" s="5"/>
      <c r="L4" s="5"/>
      <c r="M4" s="5" t="s">
        <v>7</v>
      </c>
      <c r="N4" s="5" t="s">
        <v>7</v>
      </c>
      <c r="O4" s="5" t="s">
        <v>6</v>
      </c>
      <c r="P4" s="5"/>
      <c r="Q4" s="5" t="s">
        <v>7</v>
      </c>
      <c r="R4" s="5" t="s">
        <v>7</v>
      </c>
      <c r="S4" s="5"/>
      <c r="T4" s="5"/>
      <c r="U4" s="5" t="s">
        <v>6</v>
      </c>
      <c r="V4" s="5" t="n">
        <f aca="false" t="array" ref="V4:V4">SUMPRODUCT(LEN(D4:T4) - LEN(SUBSTITUTE(D4:T4, "✔", "")))</f>
        <v>6</v>
      </c>
      <c r="W4" s="8" t="n">
        <f aca="false">V4 / 63</f>
        <v>0.0952380952380952</v>
      </c>
    </row>
    <row r="5" customFormat="false" ht="14.25" hidden="false" customHeight="false" outlineLevel="0" collapsed="false">
      <c r="A5" s="6" t="s">
        <v>8</v>
      </c>
      <c r="B5" s="6" t="s">
        <v>9</v>
      </c>
      <c r="C5" s="7"/>
      <c r="D5" s="5"/>
      <c r="E5" s="5" t="s">
        <v>6</v>
      </c>
      <c r="F5" s="5"/>
      <c r="G5" s="5"/>
      <c r="H5" s="5" t="s">
        <v>7</v>
      </c>
      <c r="I5" s="5" t="s">
        <v>7</v>
      </c>
      <c r="J5" s="5" t="s">
        <v>6</v>
      </c>
      <c r="K5" s="5" t="s">
        <v>7</v>
      </c>
      <c r="L5" s="5"/>
      <c r="M5" s="5"/>
      <c r="N5" s="5" t="s">
        <v>7</v>
      </c>
      <c r="O5" s="5" t="s">
        <v>6</v>
      </c>
      <c r="P5" s="5" t="s">
        <v>10</v>
      </c>
      <c r="Q5" s="5" t="s">
        <v>10</v>
      </c>
      <c r="R5" s="5" t="s">
        <v>7</v>
      </c>
      <c r="S5" s="5" t="s">
        <v>7</v>
      </c>
      <c r="T5" s="5" t="s">
        <v>11</v>
      </c>
      <c r="U5" s="5" t="s">
        <v>6</v>
      </c>
      <c r="V5" s="5" t="n">
        <f aca="false" t="array" ref="V5:V5">SUMPRODUCT(LEN(D5:T5) - LEN(SUBSTITUTE(D5:T5, "✔", "")))</f>
        <v>16</v>
      </c>
      <c r="W5" s="8" t="n">
        <f aca="false">V5 / 63</f>
        <v>0.253968253968254</v>
      </c>
    </row>
    <row r="6" customFormat="false" ht="14.25" hidden="false" customHeight="false" outlineLevel="0" collapsed="false">
      <c r="A6" s="6" t="s">
        <v>12</v>
      </c>
      <c r="B6" s="6" t="s">
        <v>13</v>
      </c>
      <c r="C6" s="7"/>
      <c r="D6" s="5"/>
      <c r="E6" s="5" t="s">
        <v>6</v>
      </c>
      <c r="F6" s="5"/>
      <c r="G6" s="5"/>
      <c r="H6" s="5"/>
      <c r="I6" s="5" t="s">
        <v>7</v>
      </c>
      <c r="J6" s="5" t="s">
        <v>6</v>
      </c>
      <c r="K6" s="5" t="s">
        <v>14</v>
      </c>
      <c r="L6" s="5" t="s">
        <v>7</v>
      </c>
      <c r="M6" s="5" t="s">
        <v>14</v>
      </c>
      <c r="N6" s="5" t="s">
        <v>15</v>
      </c>
      <c r="O6" s="5" t="s">
        <v>6</v>
      </c>
      <c r="P6" s="5" t="s">
        <v>15</v>
      </c>
      <c r="Q6" s="5"/>
      <c r="R6" s="5" t="s">
        <v>10</v>
      </c>
      <c r="S6" s="5" t="s">
        <v>11</v>
      </c>
      <c r="T6" s="5" t="s">
        <v>11</v>
      </c>
      <c r="U6" s="5" t="s">
        <v>6</v>
      </c>
      <c r="V6" s="5" t="n">
        <f aca="false" t="array" ref="V6:V6">SUMPRODUCT(LEN(D6:T6) - LEN(SUBSTITUTE(D6:T6, "✔", "")))</f>
        <v>30</v>
      </c>
      <c r="W6" s="8" t="n">
        <f aca="false">V6 / 63</f>
        <v>0.476190476190476</v>
      </c>
    </row>
    <row r="7" customFormat="false" ht="14.25" hidden="false" customHeight="false" outlineLevel="0" collapsed="false">
      <c r="A7" s="6" t="s">
        <v>16</v>
      </c>
      <c r="B7" s="6" t="s">
        <v>17</v>
      </c>
      <c r="C7" s="7"/>
      <c r="D7" s="5" t="s">
        <v>7</v>
      </c>
      <c r="E7" s="5" t="s">
        <v>6</v>
      </c>
      <c r="F7" s="5" t="s">
        <v>7</v>
      </c>
      <c r="G7" s="5" t="s">
        <v>7</v>
      </c>
      <c r="H7" s="5" t="s">
        <v>7</v>
      </c>
      <c r="I7" s="5" t="s">
        <v>7</v>
      </c>
      <c r="J7" s="5" t="s">
        <v>6</v>
      </c>
      <c r="K7" s="5" t="s">
        <v>18</v>
      </c>
      <c r="L7" s="5" t="s">
        <v>15</v>
      </c>
      <c r="M7" s="5" t="s">
        <v>19</v>
      </c>
      <c r="N7" s="5" t="s">
        <v>14</v>
      </c>
      <c r="O7" s="5" t="s">
        <v>6</v>
      </c>
      <c r="P7" s="5" t="s">
        <v>18</v>
      </c>
      <c r="Q7" s="5" t="s">
        <v>19</v>
      </c>
      <c r="R7" s="5" t="s">
        <v>10</v>
      </c>
      <c r="S7" s="5" t="s">
        <v>11</v>
      </c>
      <c r="T7" s="5" t="s">
        <v>18</v>
      </c>
      <c r="U7" s="5" t="s">
        <v>6</v>
      </c>
      <c r="V7" s="5" t="n">
        <f aca="false" t="array" ref="V7:V7">SUMPRODUCT(LEN(D7:T7) - LEN(SUBSTITUTE(D7:T7, "✔", "")))</f>
        <v>51</v>
      </c>
      <c r="W7" s="8" t="n">
        <f aca="false">V7 / 63</f>
        <v>0.80952380952381</v>
      </c>
    </row>
    <row r="8" customFormat="false" ht="14.25" hidden="false" customHeight="false" outlineLevel="0" collapsed="false">
      <c r="A8" s="6" t="s">
        <v>20</v>
      </c>
      <c r="B8" s="6" t="s">
        <v>21</v>
      </c>
      <c r="C8" s="7"/>
      <c r="D8" s="5"/>
      <c r="E8" s="5" t="s">
        <v>6</v>
      </c>
      <c r="F8" s="5"/>
      <c r="G8" s="5"/>
      <c r="H8" s="5"/>
      <c r="I8" s="5" t="s">
        <v>7</v>
      </c>
      <c r="J8" s="5" t="s">
        <v>6</v>
      </c>
      <c r="K8" s="5"/>
      <c r="L8" s="5"/>
      <c r="M8" s="5"/>
      <c r="N8" s="5" t="s">
        <v>10</v>
      </c>
      <c r="O8" s="5" t="s">
        <v>6</v>
      </c>
      <c r="P8" s="5"/>
      <c r="Q8" s="5" t="s">
        <v>7</v>
      </c>
      <c r="R8" s="5" t="s">
        <v>7</v>
      </c>
      <c r="S8" s="5"/>
      <c r="T8" s="5" t="s">
        <v>7</v>
      </c>
      <c r="U8" s="5" t="s">
        <v>6</v>
      </c>
      <c r="V8" s="5" t="n">
        <f aca="false" t="array" ref="V8:V8">SUMPRODUCT(LEN(D8:T8) - LEN(SUBSTITUTE(D8:T8, "✔", "")))</f>
        <v>6</v>
      </c>
      <c r="W8" s="8" t="n">
        <f aca="false">V8 / 63</f>
        <v>0.0952380952380952</v>
      </c>
    </row>
    <row r="9" customFormat="false" ht="14.25" hidden="false" customHeight="false" outlineLevel="0" collapsed="false">
      <c r="A9" s="6" t="s">
        <v>22</v>
      </c>
      <c r="B9" s="6" t="s">
        <v>23</v>
      </c>
      <c r="C9" s="7"/>
      <c r="D9" s="5"/>
      <c r="E9" s="5" t="s">
        <v>6</v>
      </c>
      <c r="F9" s="5"/>
      <c r="G9" s="5"/>
      <c r="H9" s="5" t="s">
        <v>10</v>
      </c>
      <c r="I9" s="5" t="s">
        <v>7</v>
      </c>
      <c r="J9" s="5" t="s">
        <v>6</v>
      </c>
      <c r="K9" s="5"/>
      <c r="L9" s="5"/>
      <c r="M9" s="5"/>
      <c r="N9" s="5"/>
      <c r="O9" s="5" t="s">
        <v>6</v>
      </c>
      <c r="P9" s="5"/>
      <c r="Q9" s="5"/>
      <c r="R9" s="5"/>
      <c r="S9" s="5"/>
      <c r="T9" s="5"/>
      <c r="U9" s="5" t="s">
        <v>6</v>
      </c>
      <c r="V9" s="5" t="n">
        <f aca="false" t="array" ref="V9:V9">SUMPRODUCT(LEN(D9:T9) - LEN(SUBSTITUTE(D9:T9, "✔", "")))</f>
        <v>3</v>
      </c>
      <c r="W9" s="8" t="n">
        <f aca="false">V9 / 63</f>
        <v>0.0476190476190476</v>
      </c>
    </row>
    <row r="10" customFormat="false" ht="14.25" hidden="false" customHeight="false" outlineLevel="0" collapsed="false">
      <c r="A10" s="6" t="s">
        <v>24</v>
      </c>
      <c r="B10" s="6" t="s">
        <v>25</v>
      </c>
      <c r="C10" s="7"/>
      <c r="D10" s="5"/>
      <c r="E10" s="5" t="s">
        <v>6</v>
      </c>
      <c r="F10" s="5" t="s">
        <v>7</v>
      </c>
      <c r="G10" s="5"/>
      <c r="H10" s="5" t="s">
        <v>10</v>
      </c>
      <c r="I10" s="5" t="s">
        <v>7</v>
      </c>
      <c r="J10" s="5" t="s">
        <v>6</v>
      </c>
      <c r="K10" s="5" t="s">
        <v>14</v>
      </c>
      <c r="L10" s="5" t="s">
        <v>7</v>
      </c>
      <c r="M10" s="5"/>
      <c r="N10" s="5" t="s">
        <v>15</v>
      </c>
      <c r="O10" s="5" t="s">
        <v>6</v>
      </c>
      <c r="P10" s="5" t="s">
        <v>14</v>
      </c>
      <c r="Q10" s="5" t="s">
        <v>10</v>
      </c>
      <c r="R10" s="5" t="s">
        <v>15</v>
      </c>
      <c r="S10" s="5" t="s">
        <v>7</v>
      </c>
      <c r="T10" s="5" t="s">
        <v>26</v>
      </c>
      <c r="U10" s="5" t="s">
        <v>6</v>
      </c>
      <c r="V10" s="5" t="n">
        <f aca="false" t="array" ref="V10:V10">SUMPRODUCT(LEN(D10:T10) - LEN(SUBSTITUTE(D10:T10, "✔", "")))</f>
        <v>34</v>
      </c>
      <c r="W10" s="8" t="n">
        <f aca="false">V10 / 63</f>
        <v>0.53968253968254</v>
      </c>
    </row>
    <row r="11" customFormat="false" ht="14.25" hidden="false" customHeight="false" outlineLevel="0" collapsed="false">
      <c r="A11" s="6" t="s">
        <v>27</v>
      </c>
      <c r="B11" s="6" t="s">
        <v>28</v>
      </c>
      <c r="C11" s="7"/>
      <c r="D11" s="5" t="s">
        <v>7</v>
      </c>
      <c r="E11" s="5" t="s">
        <v>6</v>
      </c>
      <c r="F11" s="5"/>
      <c r="G11" s="5" t="s">
        <v>7</v>
      </c>
      <c r="H11" s="5" t="s">
        <v>7</v>
      </c>
      <c r="I11" s="5" t="s">
        <v>7</v>
      </c>
      <c r="J11" s="5" t="s">
        <v>6</v>
      </c>
      <c r="K11" s="5" t="s">
        <v>11</v>
      </c>
      <c r="L11" s="5" t="s">
        <v>14</v>
      </c>
      <c r="M11" s="5" t="s">
        <v>11</v>
      </c>
      <c r="N11" s="5" t="s">
        <v>29</v>
      </c>
      <c r="O11" s="5" t="s">
        <v>6</v>
      </c>
      <c r="P11" s="5" t="s">
        <v>18</v>
      </c>
      <c r="Q11" s="5" t="s">
        <v>10</v>
      </c>
      <c r="R11" s="5" t="s">
        <v>30</v>
      </c>
      <c r="S11" s="5" t="s">
        <v>30</v>
      </c>
      <c r="T11" s="5" t="s">
        <v>31</v>
      </c>
      <c r="U11" s="5" t="s">
        <v>6</v>
      </c>
      <c r="V11" s="5" t="n">
        <f aca="false" t="array" ref="V11:V11">SUMPRODUCT(LEN(D11:T11) - LEN(SUBSTITUTE(D11:T11, "✔", "")))</f>
        <v>63</v>
      </c>
      <c r="W11" s="8" t="n">
        <f aca="false">V11 / 63</f>
        <v>1</v>
      </c>
    </row>
    <row r="12" customFormat="false" ht="23.85" hidden="false" customHeight="false" outlineLevel="0" collapsed="false">
      <c r="A12" s="6" t="s">
        <v>32</v>
      </c>
      <c r="B12" s="6" t="s">
        <v>33</v>
      </c>
      <c r="C12" s="7"/>
      <c r="D12" s="5"/>
      <c r="E12" s="5" t="s">
        <v>6</v>
      </c>
      <c r="F12" s="5" t="s">
        <v>7</v>
      </c>
      <c r="G12" s="5"/>
      <c r="H12" s="5" t="s">
        <v>11</v>
      </c>
      <c r="I12" s="5" t="s">
        <v>7</v>
      </c>
      <c r="J12" s="5" t="s">
        <v>6</v>
      </c>
      <c r="K12" s="5" t="s">
        <v>11</v>
      </c>
      <c r="L12" s="5" t="s">
        <v>14</v>
      </c>
      <c r="M12" s="5" t="s">
        <v>11</v>
      </c>
      <c r="N12" s="5" t="s">
        <v>15</v>
      </c>
      <c r="O12" s="5" t="s">
        <v>6</v>
      </c>
      <c r="P12" s="5" t="s">
        <v>14</v>
      </c>
      <c r="Q12" s="5" t="s">
        <v>11</v>
      </c>
      <c r="R12" s="5" t="s">
        <v>11</v>
      </c>
      <c r="S12" s="5" t="s">
        <v>10</v>
      </c>
      <c r="T12" s="5" t="s">
        <v>34</v>
      </c>
      <c r="U12" s="5" t="s">
        <v>6</v>
      </c>
      <c r="V12" s="5" t="n">
        <f aca="false" t="array" ref="V12:V12">SUMPRODUCT(LEN(D12:T12) - LEN(SUBSTITUTE(D12:T12, "✔", "")))</f>
        <v>57</v>
      </c>
      <c r="W12" s="8" t="n">
        <f aca="false">V12 / 63</f>
        <v>0.904761904761905</v>
      </c>
    </row>
    <row r="13" customFormat="false" ht="14.25" hidden="false" customHeight="false" outlineLevel="0" collapsed="false">
      <c r="A13" s="6" t="s">
        <v>35</v>
      </c>
      <c r="B13" s="6" t="s">
        <v>36</v>
      </c>
      <c r="C13" s="7"/>
      <c r="D13" s="5" t="s">
        <v>7</v>
      </c>
      <c r="E13" s="5" t="s">
        <v>6</v>
      </c>
      <c r="F13" s="5" t="s">
        <v>7</v>
      </c>
      <c r="G13" s="5" t="s">
        <v>7</v>
      </c>
      <c r="H13" s="5" t="s">
        <v>15</v>
      </c>
      <c r="I13" s="5" t="s">
        <v>7</v>
      </c>
      <c r="J13" s="5" t="s">
        <v>6</v>
      </c>
      <c r="K13" s="5" t="s">
        <v>19</v>
      </c>
      <c r="L13" s="5"/>
      <c r="M13" s="5" t="s">
        <v>11</v>
      </c>
      <c r="N13" s="5" t="s">
        <v>31</v>
      </c>
      <c r="O13" s="5" t="s">
        <v>6</v>
      </c>
      <c r="P13" s="5" t="s">
        <v>11</v>
      </c>
      <c r="Q13" s="5" t="s">
        <v>15</v>
      </c>
      <c r="R13" s="5" t="s">
        <v>30</v>
      </c>
      <c r="S13" s="5" t="s">
        <v>18</v>
      </c>
      <c r="T13" s="5" t="s">
        <v>29</v>
      </c>
      <c r="U13" s="5" t="s">
        <v>6</v>
      </c>
      <c r="V13" s="5" t="n">
        <f aca="false" t="array" ref="V13:V13">SUMPRODUCT(LEN(D13:T13) - LEN(SUBSTITUTE(D13:T13, "✔", "")))</f>
        <v>63</v>
      </c>
      <c r="W13" s="8" t="n">
        <f aca="false">V13 / 63</f>
        <v>1</v>
      </c>
    </row>
    <row r="14" customFormat="false" ht="14.25" hidden="false" customHeight="false" outlineLevel="0" collapsed="false">
      <c r="A14" s="6" t="s">
        <v>37</v>
      </c>
      <c r="B14" s="6" t="s">
        <v>38</v>
      </c>
      <c r="C14" s="7"/>
      <c r="D14" s="5" t="s">
        <v>7</v>
      </c>
      <c r="E14" s="5" t="s">
        <v>6</v>
      </c>
      <c r="F14" s="5"/>
      <c r="G14" s="5"/>
      <c r="H14" s="5" t="s">
        <v>14</v>
      </c>
      <c r="I14" s="5" t="s">
        <v>7</v>
      </c>
      <c r="J14" s="5" t="s">
        <v>6</v>
      </c>
      <c r="K14" s="5" t="s">
        <v>19</v>
      </c>
      <c r="L14" s="5" t="s">
        <v>15</v>
      </c>
      <c r="M14" s="5" t="s">
        <v>19</v>
      </c>
      <c r="N14" s="5" t="s">
        <v>18</v>
      </c>
      <c r="O14" s="5" t="s">
        <v>6</v>
      </c>
      <c r="P14" s="5" t="s">
        <v>15</v>
      </c>
      <c r="Q14" s="5" t="s">
        <v>18</v>
      </c>
      <c r="R14" s="5" t="s">
        <v>11</v>
      </c>
      <c r="S14" s="5" t="s">
        <v>18</v>
      </c>
      <c r="T14" s="5" t="s">
        <v>31</v>
      </c>
      <c r="U14" s="5" t="s">
        <v>6</v>
      </c>
      <c r="V14" s="5" t="n">
        <f aca="false" t="array" ref="V14:V14">SUMPRODUCT(LEN(D14:T14) - LEN(SUBSTITUTE(D14:T14, "✔", "")))</f>
        <v>59</v>
      </c>
      <c r="W14" s="8" t="n">
        <f aca="false">V14 / 63</f>
        <v>0.936507936507937</v>
      </c>
    </row>
    <row r="15" customFormat="false" ht="14.25" hidden="false" customHeight="false" outlineLevel="0" collapsed="false">
      <c r="A15" s="6" t="s">
        <v>39</v>
      </c>
      <c r="B15" s="6" t="s">
        <v>40</v>
      </c>
      <c r="C15" s="7"/>
      <c r="D15" s="5"/>
      <c r="E15" s="5" t="s">
        <v>6</v>
      </c>
      <c r="F15" s="5"/>
      <c r="G15" s="5"/>
      <c r="H15" s="5" t="s">
        <v>10</v>
      </c>
      <c r="I15" s="5" t="s">
        <v>7</v>
      </c>
      <c r="J15" s="5" t="s">
        <v>6</v>
      </c>
      <c r="K15" s="5" t="s">
        <v>7</v>
      </c>
      <c r="L15" s="5" t="s">
        <v>7</v>
      </c>
      <c r="M15" s="5" t="s">
        <v>10</v>
      </c>
      <c r="N15" s="5" t="s">
        <v>15</v>
      </c>
      <c r="O15" s="5" t="s">
        <v>6</v>
      </c>
      <c r="P15" s="5" t="s">
        <v>10</v>
      </c>
      <c r="Q15" s="5"/>
      <c r="R15" s="5" t="s">
        <v>10</v>
      </c>
      <c r="S15" s="5"/>
      <c r="T15" s="5" t="s">
        <v>15</v>
      </c>
      <c r="U15" s="5" t="s">
        <v>6</v>
      </c>
      <c r="V15" s="5" t="n">
        <f aca="false" t="array" ref="V15:V15">SUMPRODUCT(LEN(D15:T15) - LEN(SUBSTITUTE(D15:T15, "✔", "")))</f>
        <v>19</v>
      </c>
      <c r="W15" s="8" t="n">
        <f aca="false">V15 / 63</f>
        <v>0.301587301587302</v>
      </c>
    </row>
    <row r="16" customFormat="false" ht="14.25" hidden="false" customHeight="false" outlineLevel="0" collapsed="false">
      <c r="A16" s="6" t="s">
        <v>41</v>
      </c>
      <c r="B16" s="6" t="s">
        <v>42</v>
      </c>
      <c r="C16" s="7"/>
      <c r="D16" s="5" t="s">
        <v>7</v>
      </c>
      <c r="E16" s="5" t="s">
        <v>6</v>
      </c>
      <c r="F16" s="5" t="s">
        <v>10</v>
      </c>
      <c r="G16" s="5"/>
      <c r="H16" s="5" t="s">
        <v>14</v>
      </c>
      <c r="I16" s="5" t="s">
        <v>7</v>
      </c>
      <c r="J16" s="5" t="s">
        <v>6</v>
      </c>
      <c r="K16" s="5" t="s">
        <v>30</v>
      </c>
      <c r="L16" s="5"/>
      <c r="M16" s="5" t="s">
        <v>11</v>
      </c>
      <c r="N16" s="5" t="s">
        <v>31</v>
      </c>
      <c r="O16" s="5" t="s">
        <v>6</v>
      </c>
      <c r="P16" s="5" t="s">
        <v>15</v>
      </c>
      <c r="Q16" s="5" t="s">
        <v>10</v>
      </c>
      <c r="R16" s="5" t="s">
        <v>14</v>
      </c>
      <c r="S16" s="5" t="s">
        <v>11</v>
      </c>
      <c r="T16" s="5" t="s">
        <v>43</v>
      </c>
      <c r="U16" s="5" t="s">
        <v>6</v>
      </c>
      <c r="V16" s="5" t="n">
        <f aca="false" t="array" ref="V16:V16">SUMPRODUCT(LEN(D16:T16) - LEN(SUBSTITUTE(D16:T16, "✔", "")))</f>
        <v>60</v>
      </c>
      <c r="W16" s="8" t="n">
        <f aca="false">V16 / 63</f>
        <v>0.952380952380952</v>
      </c>
    </row>
    <row r="17" customFormat="false" ht="23.85" hidden="false" customHeight="false" outlineLevel="0" collapsed="false">
      <c r="A17" s="6" t="s">
        <v>44</v>
      </c>
      <c r="B17" s="6" t="s">
        <v>45</v>
      </c>
      <c r="C17" s="7"/>
      <c r="D17" s="5"/>
      <c r="E17" s="5" t="s">
        <v>6</v>
      </c>
      <c r="F17" s="5" t="s">
        <v>10</v>
      </c>
      <c r="G17" s="5" t="s">
        <v>7</v>
      </c>
      <c r="H17" s="5" t="s">
        <v>7</v>
      </c>
      <c r="I17" s="5" t="s">
        <v>7</v>
      </c>
      <c r="J17" s="5" t="s">
        <v>6</v>
      </c>
      <c r="K17" s="5"/>
      <c r="L17" s="5"/>
      <c r="M17" s="5" t="s">
        <v>7</v>
      </c>
      <c r="N17" s="5"/>
      <c r="O17" s="5" t="s">
        <v>6</v>
      </c>
      <c r="P17" s="5"/>
      <c r="Q17" s="5" t="s">
        <v>7</v>
      </c>
      <c r="R17" s="5"/>
      <c r="S17" s="5" t="s">
        <v>7</v>
      </c>
      <c r="T17" s="5" t="s">
        <v>7</v>
      </c>
      <c r="U17" s="5" t="s">
        <v>6</v>
      </c>
      <c r="V17" s="5" t="n">
        <f aca="false" t="array" ref="V17:V17">SUMPRODUCT(LEN(D17:T17) - LEN(SUBSTITUTE(D17:T17, "✔", "")))</f>
        <v>9</v>
      </c>
      <c r="W17" s="8" t="n">
        <f aca="false">V17 / 63</f>
        <v>0.142857142857143</v>
      </c>
    </row>
    <row r="18" customFormat="false" ht="14.25" hidden="false" customHeight="false" outlineLevel="0" collapsed="false">
      <c r="A18" s="6" t="s">
        <v>46</v>
      </c>
      <c r="B18" s="6" t="s">
        <v>47</v>
      </c>
      <c r="C18" s="7"/>
      <c r="D18" s="5"/>
      <c r="E18" s="5" t="s">
        <v>6</v>
      </c>
      <c r="F18" s="5" t="s">
        <v>14</v>
      </c>
      <c r="G18" s="5"/>
      <c r="H18" s="5" t="s">
        <v>10</v>
      </c>
      <c r="I18" s="5" t="s">
        <v>10</v>
      </c>
      <c r="J18" s="5" t="s">
        <v>6</v>
      </c>
      <c r="K18" s="5" t="s">
        <v>7</v>
      </c>
      <c r="L18" s="5" t="s">
        <v>10</v>
      </c>
      <c r="M18" s="5" t="s">
        <v>15</v>
      </c>
      <c r="N18" s="5" t="s">
        <v>14</v>
      </c>
      <c r="O18" s="5" t="s">
        <v>6</v>
      </c>
      <c r="P18" s="5" t="s">
        <v>19</v>
      </c>
      <c r="Q18" s="5" t="s">
        <v>15</v>
      </c>
      <c r="R18" s="5" t="s">
        <v>11</v>
      </c>
      <c r="S18" s="5" t="s">
        <v>29</v>
      </c>
      <c r="T18" s="5" t="s">
        <v>31</v>
      </c>
      <c r="U18" s="5" t="s">
        <v>6</v>
      </c>
      <c r="V18" s="5" t="n">
        <f aca="false" t="array" ref="V18:V18">SUMPRODUCT(LEN(D18:T18) - LEN(SUBSTITUTE(D18:T18, "✔", "")))</f>
        <v>51</v>
      </c>
      <c r="W18" s="8" t="n">
        <f aca="false">V18 / 63</f>
        <v>0.80952380952381</v>
      </c>
    </row>
    <row r="19" customFormat="false" ht="14.25" hidden="false" customHeight="false" outlineLevel="0" collapsed="false">
      <c r="A19" s="6" t="s">
        <v>48</v>
      </c>
      <c r="B19" s="6" t="s">
        <v>49</v>
      </c>
      <c r="C19" s="7"/>
      <c r="D19" s="5"/>
      <c r="E19" s="5" t="s">
        <v>6</v>
      </c>
      <c r="F19" s="5"/>
      <c r="G19" s="5"/>
      <c r="H19" s="5"/>
      <c r="I19" s="5" t="s">
        <v>7</v>
      </c>
      <c r="J19" s="5" t="s">
        <v>6</v>
      </c>
      <c r="K19" s="5" t="s">
        <v>10</v>
      </c>
      <c r="L19" s="5" t="s">
        <v>10</v>
      </c>
      <c r="M19" s="5" t="s">
        <v>10</v>
      </c>
      <c r="N19" s="5" t="s">
        <v>7</v>
      </c>
      <c r="O19" s="5" t="s">
        <v>6</v>
      </c>
      <c r="P19" s="5" t="s">
        <v>14</v>
      </c>
      <c r="Q19" s="5" t="s">
        <v>15</v>
      </c>
      <c r="R19" s="5" t="s">
        <v>11</v>
      </c>
      <c r="S19" s="5" t="s">
        <v>30</v>
      </c>
      <c r="T19" s="5" t="s">
        <v>31</v>
      </c>
      <c r="U19" s="5" t="s">
        <v>6</v>
      </c>
      <c r="V19" s="5" t="n">
        <f aca="false" t="array" ref="V19:V19">SUMPRODUCT(LEN(D19:T19) - LEN(SUBSTITUTE(D19:T19, "✔", "")))</f>
        <v>38</v>
      </c>
      <c r="W19" s="8" t="n">
        <f aca="false">V19 / 63</f>
        <v>0.603174603174603</v>
      </c>
    </row>
    <row r="20" customFormat="false" ht="14.25" hidden="false" customHeight="false" outlineLevel="0" collapsed="false">
      <c r="A20" s="6" t="s">
        <v>50</v>
      </c>
      <c r="B20" s="6" t="s">
        <v>51</v>
      </c>
      <c r="C20" s="7"/>
      <c r="D20" s="5" t="s">
        <v>10</v>
      </c>
      <c r="E20" s="5" t="s">
        <v>6</v>
      </c>
      <c r="F20" s="5"/>
      <c r="G20" s="5"/>
      <c r="H20" s="5" t="s">
        <v>7</v>
      </c>
      <c r="I20" s="5" t="s">
        <v>7</v>
      </c>
      <c r="J20" s="5" t="s">
        <v>6</v>
      </c>
      <c r="K20" s="5" t="s">
        <v>10</v>
      </c>
      <c r="L20" s="5"/>
      <c r="M20" s="5" t="s">
        <v>14</v>
      </c>
      <c r="N20" s="5" t="s">
        <v>10</v>
      </c>
      <c r="O20" s="5" t="s">
        <v>6</v>
      </c>
      <c r="P20" s="5" t="s">
        <v>14</v>
      </c>
      <c r="Q20" s="5" t="s">
        <v>10</v>
      </c>
      <c r="R20" s="5" t="s">
        <v>30</v>
      </c>
      <c r="S20" s="5" t="s">
        <v>31</v>
      </c>
      <c r="T20" s="5" t="s">
        <v>34</v>
      </c>
      <c r="U20" s="5" t="s">
        <v>6</v>
      </c>
      <c r="V20" s="5" t="n">
        <f aca="false" t="array" ref="V20:V20">SUMPRODUCT(LEN(D20:T20) - LEN(SUBSTITUTE(D20:T20, "✔", "")))</f>
        <v>46</v>
      </c>
      <c r="W20" s="8" t="n">
        <f aca="false">V20 / 63</f>
        <v>0.73015873015873</v>
      </c>
    </row>
    <row r="21" customFormat="false" ht="14.25" hidden="false" customHeight="false" outlineLevel="0" collapsed="false">
      <c r="V21" s="9"/>
    </row>
    <row r="22" customFormat="false" ht="14.25" hidden="false" customHeight="false" outlineLevel="0" collapsed="false">
      <c r="F22" s="10"/>
      <c r="G22" s="10"/>
      <c r="H22" s="10"/>
      <c r="V22" s="10"/>
    </row>
  </sheetData>
  <mergeCells count="23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2:W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" activeCellId="0" sqref="B1"/>
    </sheetView>
  </sheetViews>
  <sheetFormatPr defaultColWidth="11.4453125" defaultRowHeight="14.2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1.77"/>
    <col collapsed="false" customWidth="true" hidden="false" outlineLevel="0" max="3" min="3" style="1" width="3.67"/>
    <col collapsed="false" customWidth="true" hidden="false" outlineLevel="0" max="22" min="4" style="1" width="4.67"/>
    <col collapsed="false" customWidth="true" hidden="false" outlineLevel="0" max="23" min="23" style="1" width="4.3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 t="n">
        <v>46118</v>
      </c>
      <c r="E1" s="3" t="n">
        <v>46120</v>
      </c>
      <c r="F1" s="3" t="n">
        <v>46121</v>
      </c>
      <c r="G1" s="3" t="n">
        <v>46122</v>
      </c>
      <c r="H1" s="3" t="n">
        <v>46123</v>
      </c>
      <c r="I1" s="3" t="n">
        <v>46125</v>
      </c>
      <c r="J1" s="3" t="n">
        <v>46127</v>
      </c>
      <c r="K1" s="3" t="n">
        <v>46129</v>
      </c>
      <c r="L1" s="3" t="n">
        <v>46132</v>
      </c>
      <c r="M1" s="3" t="n">
        <v>46133</v>
      </c>
      <c r="N1" s="3" t="n">
        <v>46134</v>
      </c>
      <c r="O1" s="3" t="n">
        <v>46136</v>
      </c>
      <c r="P1" s="3" t="n">
        <v>46139</v>
      </c>
      <c r="Q1" s="3" t="n">
        <v>46140</v>
      </c>
      <c r="R1" s="3" t="n">
        <v>46141</v>
      </c>
      <c r="S1" s="3" t="n">
        <v>46146</v>
      </c>
      <c r="T1" s="3" t="n">
        <v>46148</v>
      </c>
      <c r="U1" s="3" t="n">
        <v>46150</v>
      </c>
      <c r="V1" s="4" t="s">
        <v>52</v>
      </c>
      <c r="W1" s="4" t="s">
        <v>3</v>
      </c>
    </row>
    <row r="2" customFormat="false" ht="101.25" hidden="false" customHeight="true" outlineLevel="0" collapsed="false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"/>
    </row>
    <row r="3" customFormat="false" ht="14.25" hidden="false" customHeight="false" outlineLevel="0" collapsed="false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4"/>
    </row>
    <row r="4" customFormat="false" ht="31.3" hidden="false" customHeight="false" outlineLevel="0" collapsed="false">
      <c r="A4" s="6" t="s">
        <v>4</v>
      </c>
      <c r="B4" s="6" t="s">
        <v>5</v>
      </c>
      <c r="C4" s="7"/>
      <c r="D4" s="11"/>
      <c r="E4" s="11" t="s">
        <v>6</v>
      </c>
      <c r="F4" s="11"/>
      <c r="G4" s="11"/>
      <c r="H4" s="11" t="s">
        <v>10</v>
      </c>
      <c r="I4" s="11"/>
      <c r="J4" s="11" t="s">
        <v>6</v>
      </c>
      <c r="K4" s="11"/>
      <c r="L4" s="11"/>
      <c r="M4" s="11"/>
      <c r="N4" s="11"/>
      <c r="O4" s="11" t="s">
        <v>6</v>
      </c>
      <c r="P4" s="11"/>
      <c r="Q4" s="11"/>
      <c r="R4" s="11"/>
      <c r="S4" s="11"/>
      <c r="T4" s="11" t="s">
        <v>10</v>
      </c>
      <c r="U4" s="11" t="s">
        <v>6</v>
      </c>
      <c r="V4" s="12" t="n">
        <f aca="false">COUNTIF(D4:U4, "✔") + (COUNTIF(D4:U4, "✔✔") * 2) + (COUNTIF(D4:U4, "✔✔✔") * 3) + (COUNTIF(D4:U4, "✔✔✔✔") * 4) + (COUNTIF(D4:U4, "✔✔✔✔✔") * 5)</f>
        <v>4</v>
      </c>
      <c r="W4" s="5" t="n">
        <f aca="false">V4 / 10</f>
        <v>0.4</v>
      </c>
    </row>
    <row r="5" customFormat="false" ht="14.25" hidden="false" customHeight="false" outlineLevel="0" collapsed="false">
      <c r="A5" s="6" t="s">
        <v>8</v>
      </c>
      <c r="B5" s="6" t="s">
        <v>9</v>
      </c>
      <c r="C5" s="7"/>
      <c r="D5" s="5"/>
      <c r="E5" s="5" t="s">
        <v>6</v>
      </c>
      <c r="F5" s="5"/>
      <c r="G5" s="5"/>
      <c r="H5" s="5" t="s">
        <v>10</v>
      </c>
      <c r="I5" s="5"/>
      <c r="J5" s="5" t="s">
        <v>6</v>
      </c>
      <c r="K5" s="5"/>
      <c r="L5" s="5"/>
      <c r="M5" s="5"/>
      <c r="N5" s="5"/>
      <c r="O5" s="5" t="s">
        <v>6</v>
      </c>
      <c r="P5" s="5"/>
      <c r="Q5" s="5"/>
      <c r="R5" s="5"/>
      <c r="S5" s="5"/>
      <c r="T5" s="5" t="s">
        <v>15</v>
      </c>
      <c r="U5" s="5" t="s">
        <v>6</v>
      </c>
      <c r="V5" s="12" t="n">
        <f aca="false">COUNTIF(D5:U5, "✔") + (COUNTIF(D5:U5, "✔✔") * 2) + (COUNTIF(D5:U5, "✔✔✔") * 3) + (COUNTIF(D5:U5, "✔✔✔✔") * 4) + (COUNTIF(D5:U5, "✔✔✔✔✔") * 5)</f>
        <v>6</v>
      </c>
      <c r="W5" s="5" t="n">
        <f aca="false">V5 / 10</f>
        <v>0.6</v>
      </c>
    </row>
    <row r="6" customFormat="false" ht="14.25" hidden="false" customHeight="false" outlineLevel="0" collapsed="false">
      <c r="A6" s="6" t="s">
        <v>12</v>
      </c>
      <c r="B6" s="6" t="s">
        <v>13</v>
      </c>
      <c r="C6" s="7"/>
      <c r="D6" s="5"/>
      <c r="E6" s="5" t="s">
        <v>6</v>
      </c>
      <c r="F6" s="5"/>
      <c r="G6" s="5"/>
      <c r="H6" s="5" t="s">
        <v>7</v>
      </c>
      <c r="I6" s="5" t="s">
        <v>7</v>
      </c>
      <c r="J6" s="5" t="s">
        <v>6</v>
      </c>
      <c r="K6" s="5"/>
      <c r="L6" s="5" t="s">
        <v>10</v>
      </c>
      <c r="M6" s="5"/>
      <c r="N6" s="5"/>
      <c r="O6" s="5" t="s">
        <v>6</v>
      </c>
      <c r="P6" s="5"/>
      <c r="Q6" s="5"/>
      <c r="R6" s="5"/>
      <c r="S6" s="5" t="s">
        <v>10</v>
      </c>
      <c r="T6" s="5" t="s">
        <v>10</v>
      </c>
      <c r="U6" s="5" t="s">
        <v>6</v>
      </c>
      <c r="V6" s="12" t="n">
        <f aca="false">COUNTIF(D6:U6, "✔") + (COUNTIF(D6:U6, "✔✔") * 2) + (COUNTIF(D6:U6, "✔✔✔") * 3) + (COUNTIF(D6:U6, "✔✔✔✔") * 4) + (COUNTIF(D6:U6, "✔✔✔✔✔") * 5)</f>
        <v>8</v>
      </c>
      <c r="W6" s="5" t="n">
        <f aca="false">V6 / 10</f>
        <v>0.8</v>
      </c>
    </row>
    <row r="7" customFormat="false" ht="14.25" hidden="false" customHeight="false" outlineLevel="0" collapsed="false">
      <c r="A7" s="6" t="s">
        <v>16</v>
      </c>
      <c r="B7" s="6" t="s">
        <v>17</v>
      </c>
      <c r="C7" s="7"/>
      <c r="D7" s="5"/>
      <c r="E7" s="5" t="s">
        <v>6</v>
      </c>
      <c r="F7" s="5"/>
      <c r="G7" s="5" t="s">
        <v>7</v>
      </c>
      <c r="H7" s="5" t="s">
        <v>10</v>
      </c>
      <c r="I7" s="5" t="s">
        <v>10</v>
      </c>
      <c r="J7" s="5" t="s">
        <v>6</v>
      </c>
      <c r="K7" s="5" t="s">
        <v>10</v>
      </c>
      <c r="L7" s="5" t="s">
        <v>7</v>
      </c>
      <c r="M7" s="5"/>
      <c r="N7" s="5"/>
      <c r="O7" s="5" t="s">
        <v>6</v>
      </c>
      <c r="P7" s="5"/>
      <c r="Q7" s="5"/>
      <c r="R7" s="5" t="s">
        <v>7</v>
      </c>
      <c r="S7" s="5" t="s">
        <v>7</v>
      </c>
      <c r="T7" s="5"/>
      <c r="U7" s="5" t="s">
        <v>6</v>
      </c>
      <c r="V7" s="12" t="n">
        <f aca="false">COUNTIF(D7:U7, "✔") + (COUNTIF(D7:U7, "✔✔") * 2) + (COUNTIF(D7:U7, "✔✔✔") * 3) + (COUNTIF(D7:U7, "✔✔✔✔") * 4) + (COUNTIF(D7:U7, "✔✔✔✔✔") * 5)</f>
        <v>10</v>
      </c>
      <c r="W7" s="5" t="n">
        <f aca="false">V7 / 10</f>
        <v>1</v>
      </c>
    </row>
    <row r="8" customFormat="false" ht="14.25" hidden="false" customHeight="false" outlineLevel="0" collapsed="false">
      <c r="A8" s="6" t="s">
        <v>20</v>
      </c>
      <c r="B8" s="6" t="s">
        <v>21</v>
      </c>
      <c r="C8" s="7"/>
      <c r="D8" s="5"/>
      <c r="E8" s="5" t="s">
        <v>6</v>
      </c>
      <c r="F8" s="5"/>
      <c r="G8" s="5"/>
      <c r="H8" s="5" t="s">
        <v>7</v>
      </c>
      <c r="I8" s="5"/>
      <c r="J8" s="5" t="s">
        <v>6</v>
      </c>
      <c r="K8" s="5"/>
      <c r="L8" s="5"/>
      <c r="M8" s="5"/>
      <c r="N8" s="5"/>
      <c r="O8" s="5" t="s">
        <v>6</v>
      </c>
      <c r="P8" s="5"/>
      <c r="Q8" s="5"/>
      <c r="R8" s="5"/>
      <c r="S8" s="5"/>
      <c r="T8" s="5" t="s">
        <v>7</v>
      </c>
      <c r="U8" s="5" t="s">
        <v>6</v>
      </c>
      <c r="V8" s="12" t="n">
        <f aca="false">COUNTIF(D8:U8, "✔") + (COUNTIF(D8:U8, "✔✔") * 2) + (COUNTIF(D8:U8, "✔✔✔") * 3) + (COUNTIF(D8:U8, "✔✔✔✔") * 4) + (COUNTIF(D8:U8, "✔✔✔✔✔") * 5)</f>
        <v>2</v>
      </c>
      <c r="W8" s="5" t="n">
        <f aca="false">V8 / 10</f>
        <v>0.2</v>
      </c>
    </row>
    <row r="9" customFormat="false" ht="14.25" hidden="false" customHeight="false" outlineLevel="0" collapsed="false">
      <c r="A9" s="6" t="s">
        <v>22</v>
      </c>
      <c r="B9" s="6" t="s">
        <v>23</v>
      </c>
      <c r="C9" s="7"/>
      <c r="D9" s="5"/>
      <c r="E9" s="5" t="s">
        <v>6</v>
      </c>
      <c r="F9" s="5"/>
      <c r="G9" s="5"/>
      <c r="H9" s="5" t="s">
        <v>10</v>
      </c>
      <c r="I9" s="5"/>
      <c r="J9" s="5" t="s">
        <v>6</v>
      </c>
      <c r="K9" s="5"/>
      <c r="L9" s="5"/>
      <c r="M9" s="5"/>
      <c r="N9" s="5"/>
      <c r="O9" s="5" t="s">
        <v>6</v>
      </c>
      <c r="P9" s="5"/>
      <c r="Q9" s="5"/>
      <c r="R9" s="5"/>
      <c r="S9" s="5"/>
      <c r="T9" s="5" t="s">
        <v>7</v>
      </c>
      <c r="U9" s="5" t="s">
        <v>6</v>
      </c>
      <c r="V9" s="12" t="n">
        <f aca="false">COUNTIF(D9:U9, "✔") + (COUNTIF(D9:U9, "✔✔") * 2) + (COUNTIF(D9:U9, "✔✔✔") * 3) + (COUNTIF(D9:U9, "✔✔✔✔") * 4) + (COUNTIF(D9:U9, "✔✔✔✔✔") * 5)</f>
        <v>3</v>
      </c>
      <c r="W9" s="5" t="n">
        <f aca="false">V9 / 10</f>
        <v>0.3</v>
      </c>
    </row>
    <row r="10" customFormat="false" ht="14.25" hidden="false" customHeight="false" outlineLevel="0" collapsed="false">
      <c r="A10" s="6" t="s">
        <v>24</v>
      </c>
      <c r="B10" s="6" t="s">
        <v>25</v>
      </c>
      <c r="C10" s="7"/>
      <c r="D10" s="5"/>
      <c r="E10" s="5" t="s">
        <v>6</v>
      </c>
      <c r="F10" s="5"/>
      <c r="G10" s="5"/>
      <c r="H10" s="5" t="s">
        <v>10</v>
      </c>
      <c r="I10" s="5" t="s">
        <v>7</v>
      </c>
      <c r="J10" s="5" t="s">
        <v>6</v>
      </c>
      <c r="K10" s="5"/>
      <c r="L10" s="5" t="s">
        <v>7</v>
      </c>
      <c r="M10" s="5"/>
      <c r="N10" s="5" t="s">
        <v>7</v>
      </c>
      <c r="O10" s="5" t="s">
        <v>6</v>
      </c>
      <c r="P10" s="5"/>
      <c r="Q10" s="5"/>
      <c r="R10" s="5" t="s">
        <v>7</v>
      </c>
      <c r="S10" s="5" t="s">
        <v>7</v>
      </c>
      <c r="T10" s="5" t="s">
        <v>10</v>
      </c>
      <c r="U10" s="5" t="s">
        <v>6</v>
      </c>
      <c r="V10" s="12" t="n">
        <f aca="false">COUNTIF(D10:U10, "✔") + (COUNTIF(D10:U10, "✔✔") * 2) + (COUNTIF(D10:U10, "✔✔✔") * 3) + (COUNTIF(D10:U10, "✔✔✔✔") * 4) + (COUNTIF(D10:U10, "✔✔✔✔✔") * 5)</f>
        <v>9</v>
      </c>
      <c r="W10" s="5" t="n">
        <f aca="false">V10 / 10</f>
        <v>0.9</v>
      </c>
    </row>
    <row r="11" customFormat="false" ht="14.25" hidden="false" customHeight="false" outlineLevel="0" collapsed="false">
      <c r="A11" s="6" t="s">
        <v>27</v>
      </c>
      <c r="B11" s="6" t="s">
        <v>28</v>
      </c>
      <c r="C11" s="7"/>
      <c r="D11" s="5"/>
      <c r="E11" s="5" t="s">
        <v>6</v>
      </c>
      <c r="F11" s="5"/>
      <c r="G11" s="5"/>
      <c r="H11" s="5" t="s">
        <v>10</v>
      </c>
      <c r="I11" s="5" t="s">
        <v>7</v>
      </c>
      <c r="J11" s="5" t="s">
        <v>6</v>
      </c>
      <c r="K11" s="5"/>
      <c r="L11" s="5" t="s">
        <v>7</v>
      </c>
      <c r="M11" s="5"/>
      <c r="N11" s="5"/>
      <c r="O11" s="5" t="s">
        <v>6</v>
      </c>
      <c r="P11" s="5"/>
      <c r="Q11" s="5"/>
      <c r="R11" s="5" t="s">
        <v>10</v>
      </c>
      <c r="S11" s="5" t="s">
        <v>10</v>
      </c>
      <c r="T11" s="5" t="s">
        <v>10</v>
      </c>
      <c r="U11" s="5" t="s">
        <v>6</v>
      </c>
      <c r="V11" s="12" t="n">
        <f aca="false">COUNTIF(D11:U11, "✔") + (COUNTIF(D11:U11, "✔✔") * 2) + (COUNTIF(D11:U11, "✔✔✔") * 3) + (COUNTIF(D11:U11, "✔✔✔✔") * 4) + (COUNTIF(D11:U11, "✔✔✔✔✔") * 5)</f>
        <v>10</v>
      </c>
      <c r="W11" s="5" t="n">
        <f aca="false">V11 / 10</f>
        <v>1</v>
      </c>
    </row>
    <row r="12" customFormat="false" ht="23.85" hidden="false" customHeight="false" outlineLevel="0" collapsed="false">
      <c r="A12" s="6" t="s">
        <v>32</v>
      </c>
      <c r="B12" s="6" t="s">
        <v>33</v>
      </c>
      <c r="C12" s="7"/>
      <c r="D12" s="5"/>
      <c r="E12" s="5" t="s">
        <v>6</v>
      </c>
      <c r="F12" s="5"/>
      <c r="G12" s="5"/>
      <c r="H12" s="5" t="s">
        <v>10</v>
      </c>
      <c r="I12" s="5"/>
      <c r="J12" s="5" t="s">
        <v>6</v>
      </c>
      <c r="K12" s="5" t="s">
        <v>7</v>
      </c>
      <c r="L12" s="5"/>
      <c r="M12" s="5"/>
      <c r="N12" s="5"/>
      <c r="O12" s="5" t="s">
        <v>6</v>
      </c>
      <c r="P12" s="5"/>
      <c r="Q12" s="5"/>
      <c r="R12" s="5" t="s">
        <v>7</v>
      </c>
      <c r="S12" s="5"/>
      <c r="T12" s="5" t="s">
        <v>7</v>
      </c>
      <c r="U12" s="5" t="s">
        <v>6</v>
      </c>
      <c r="V12" s="12" t="n">
        <f aca="false">COUNTIF(D12:U12, "✔") + (COUNTIF(D12:U12, "✔✔") * 2) + (COUNTIF(D12:U12, "✔✔✔") * 3) + (COUNTIF(D12:U12, "✔✔✔✔") * 4) + (COUNTIF(D12:U12, "✔✔✔✔✔") * 5)</f>
        <v>5</v>
      </c>
      <c r="W12" s="5" t="n">
        <f aca="false">V12 / 10</f>
        <v>0.5</v>
      </c>
    </row>
    <row r="13" customFormat="false" ht="14.25" hidden="false" customHeight="false" outlineLevel="0" collapsed="false">
      <c r="A13" s="6" t="s">
        <v>35</v>
      </c>
      <c r="B13" s="6" t="s">
        <v>36</v>
      </c>
      <c r="C13" s="7"/>
      <c r="D13" s="5"/>
      <c r="E13" s="5" t="s">
        <v>6</v>
      </c>
      <c r="F13" s="5"/>
      <c r="G13" s="5"/>
      <c r="H13" s="5" t="s">
        <v>10</v>
      </c>
      <c r="I13" s="5" t="s">
        <v>7</v>
      </c>
      <c r="J13" s="5" t="s">
        <v>6</v>
      </c>
      <c r="K13" s="5"/>
      <c r="L13" s="5"/>
      <c r="M13" s="5"/>
      <c r="N13" s="5"/>
      <c r="O13" s="5" t="s">
        <v>6</v>
      </c>
      <c r="P13" s="5"/>
      <c r="Q13" s="5"/>
      <c r="R13" s="5"/>
      <c r="S13" s="5" t="s">
        <v>7</v>
      </c>
      <c r="T13" s="5" t="s">
        <v>14</v>
      </c>
      <c r="U13" s="5" t="s">
        <v>6</v>
      </c>
      <c r="V13" s="12" t="n">
        <f aca="false">COUNTIF(D13:U13, "✔") + (COUNTIF(D13:U13, "✔✔") * 2) + (COUNTIF(D13:U13, "✔✔✔") * 3) + (COUNTIF(D13:U13, "✔✔✔✔") * 4) + (COUNTIF(D13:U13, "✔✔✔✔✔") * 5)</f>
        <v>7</v>
      </c>
      <c r="W13" s="5" t="n">
        <f aca="false">V13 / 10</f>
        <v>0.7</v>
      </c>
    </row>
    <row r="14" customFormat="false" ht="14.25" hidden="false" customHeight="false" outlineLevel="0" collapsed="false">
      <c r="A14" s="6" t="s">
        <v>37</v>
      </c>
      <c r="B14" s="6" t="s">
        <v>38</v>
      </c>
      <c r="C14" s="7"/>
      <c r="D14" s="5" t="s">
        <v>7</v>
      </c>
      <c r="E14" s="5" t="s">
        <v>6</v>
      </c>
      <c r="F14" s="5"/>
      <c r="G14" s="5"/>
      <c r="H14" s="5" t="s">
        <v>10</v>
      </c>
      <c r="I14" s="5"/>
      <c r="J14" s="5" t="s">
        <v>6</v>
      </c>
      <c r="K14" s="5" t="s">
        <v>7</v>
      </c>
      <c r="L14" s="5" t="s">
        <v>7</v>
      </c>
      <c r="M14" s="5"/>
      <c r="N14" s="5"/>
      <c r="O14" s="5" t="s">
        <v>6</v>
      </c>
      <c r="P14" s="5"/>
      <c r="Q14" s="5" t="s">
        <v>7</v>
      </c>
      <c r="R14" s="5" t="s">
        <v>7</v>
      </c>
      <c r="S14" s="5" t="s">
        <v>10</v>
      </c>
      <c r="T14" s="5" t="s">
        <v>7</v>
      </c>
      <c r="U14" s="5" t="s">
        <v>6</v>
      </c>
      <c r="V14" s="12" t="n">
        <f aca="false">COUNTIF(D14:U14, "✔") + (COUNTIF(D14:U14, "✔✔") * 2) + (COUNTIF(D14:U14, "✔✔✔") * 3) + (COUNTIF(D14:U14, "✔✔✔✔") * 4) + (COUNTIF(D14:U14, "✔✔✔✔✔") * 5)</f>
        <v>10</v>
      </c>
      <c r="W14" s="5" t="n">
        <f aca="false">V14 / 10</f>
        <v>1</v>
      </c>
    </row>
    <row r="15" customFormat="false" ht="14.25" hidden="false" customHeight="false" outlineLevel="0" collapsed="false">
      <c r="A15" s="6" t="s">
        <v>39</v>
      </c>
      <c r="B15" s="6" t="s">
        <v>40</v>
      </c>
      <c r="C15" s="7"/>
      <c r="D15" s="5"/>
      <c r="E15" s="5" t="s">
        <v>6</v>
      </c>
      <c r="F15" s="5"/>
      <c r="G15" s="5"/>
      <c r="H15" s="5" t="s">
        <v>10</v>
      </c>
      <c r="I15" s="5"/>
      <c r="J15" s="5" t="s">
        <v>6</v>
      </c>
      <c r="K15" s="5"/>
      <c r="L15" s="5"/>
      <c r="M15" s="5"/>
      <c r="N15" s="5"/>
      <c r="O15" s="5" t="s">
        <v>6</v>
      </c>
      <c r="P15" s="5"/>
      <c r="Q15" s="5"/>
      <c r="R15" s="5"/>
      <c r="S15" s="5"/>
      <c r="T15" s="5" t="s">
        <v>14</v>
      </c>
      <c r="U15" s="5" t="s">
        <v>6</v>
      </c>
      <c r="V15" s="12" t="n">
        <f aca="false">COUNTIF(D15:U15, "✔") + (COUNTIF(D15:U15, "✔✔") * 2) + (COUNTIF(D15:U15, "✔✔✔") * 3) + (COUNTIF(D15:U15, "✔✔✔✔") * 4) + (COUNTIF(D15:U15, "✔✔✔✔✔") * 5)</f>
        <v>5</v>
      </c>
      <c r="W15" s="5" t="n">
        <f aca="false">V15 / 10</f>
        <v>0.5</v>
      </c>
    </row>
    <row r="16" customFormat="false" ht="14.25" hidden="false" customHeight="false" outlineLevel="0" collapsed="false">
      <c r="A16" s="6" t="s">
        <v>41</v>
      </c>
      <c r="B16" s="6" t="s">
        <v>42</v>
      </c>
      <c r="C16" s="7"/>
      <c r="D16" s="5"/>
      <c r="E16" s="5" t="s">
        <v>6</v>
      </c>
      <c r="F16" s="5"/>
      <c r="G16" s="5"/>
      <c r="H16" s="5" t="s">
        <v>10</v>
      </c>
      <c r="I16" s="5" t="s">
        <v>7</v>
      </c>
      <c r="J16" s="5" t="s">
        <v>6</v>
      </c>
      <c r="K16" s="5" t="s">
        <v>7</v>
      </c>
      <c r="L16" s="5" t="s">
        <v>7</v>
      </c>
      <c r="M16" s="5"/>
      <c r="N16" s="5"/>
      <c r="O16" s="5" t="s">
        <v>6</v>
      </c>
      <c r="P16" s="5" t="s">
        <v>7</v>
      </c>
      <c r="Q16" s="5"/>
      <c r="R16" s="5" t="s">
        <v>15</v>
      </c>
      <c r="S16" s="5"/>
      <c r="T16" s="5"/>
      <c r="U16" s="5" t="s">
        <v>6</v>
      </c>
      <c r="V16" s="12" t="n">
        <f aca="false">COUNTIF(D16:U16, "✔") + (COUNTIF(D16:U16, "✔✔") * 2) + (COUNTIF(D16:U16, "✔✔✔") * 3) + (COUNTIF(D16:U16, "✔✔✔✔") * 4) + (COUNTIF(D16:U16, "✔✔✔✔✔") * 5)</f>
        <v>10</v>
      </c>
      <c r="W16" s="5" t="n">
        <f aca="false">V16 / 10</f>
        <v>1</v>
      </c>
    </row>
    <row r="17" customFormat="false" ht="23.85" hidden="false" customHeight="false" outlineLevel="0" collapsed="false">
      <c r="A17" s="6" t="s">
        <v>44</v>
      </c>
      <c r="B17" s="6" t="s">
        <v>45</v>
      </c>
      <c r="C17" s="7"/>
      <c r="D17" s="5"/>
      <c r="E17" s="5" t="s">
        <v>6</v>
      </c>
      <c r="F17" s="5"/>
      <c r="G17" s="5"/>
      <c r="H17" s="5" t="s">
        <v>10</v>
      </c>
      <c r="I17" s="5"/>
      <c r="J17" s="5" t="s">
        <v>6</v>
      </c>
      <c r="K17" s="5"/>
      <c r="L17" s="5"/>
      <c r="M17" s="5"/>
      <c r="N17" s="5"/>
      <c r="O17" s="5" t="s">
        <v>6</v>
      </c>
      <c r="P17" s="5"/>
      <c r="Q17" s="5"/>
      <c r="R17" s="5"/>
      <c r="S17" s="5"/>
      <c r="T17" s="5" t="s">
        <v>7</v>
      </c>
      <c r="U17" s="5" t="s">
        <v>6</v>
      </c>
      <c r="V17" s="12" t="n">
        <f aca="false">COUNTIF(D17:U17, "✔") + (COUNTIF(D17:U17, "✔✔") * 2) + (COUNTIF(D17:U17, "✔✔✔") * 3) + (COUNTIF(D17:U17, "✔✔✔✔") * 4) + (COUNTIF(D17:U17, "✔✔✔✔✔") * 5)</f>
        <v>3</v>
      </c>
      <c r="W17" s="5" t="n">
        <f aca="false">V17 / 10</f>
        <v>0.3</v>
      </c>
    </row>
    <row r="18" customFormat="false" ht="14.25" hidden="false" customHeight="false" outlineLevel="0" collapsed="false">
      <c r="A18" s="6" t="s">
        <v>46</v>
      </c>
      <c r="B18" s="6" t="s">
        <v>47</v>
      </c>
      <c r="C18" s="7"/>
      <c r="D18" s="5"/>
      <c r="E18" s="5" t="s">
        <v>6</v>
      </c>
      <c r="F18" s="5"/>
      <c r="G18" s="5"/>
      <c r="H18" s="5" t="s">
        <v>10</v>
      </c>
      <c r="I18" s="5" t="s">
        <v>7</v>
      </c>
      <c r="J18" s="5" t="s">
        <v>6</v>
      </c>
      <c r="K18" s="5"/>
      <c r="L18" s="5"/>
      <c r="M18" s="5"/>
      <c r="N18" s="5"/>
      <c r="O18" s="5" t="s">
        <v>6</v>
      </c>
      <c r="P18" s="5"/>
      <c r="Q18" s="5"/>
      <c r="R18" s="5" t="s">
        <v>10</v>
      </c>
      <c r="S18" s="5" t="s">
        <v>7</v>
      </c>
      <c r="T18" s="5" t="s">
        <v>15</v>
      </c>
      <c r="U18" s="5" t="s">
        <v>6</v>
      </c>
      <c r="V18" s="12" t="n">
        <f aca="false">COUNTIF(D18:U18, "✔") + (COUNTIF(D18:U18, "✔✔") * 2) + (COUNTIF(D18:U18, "✔✔✔") * 3) + (COUNTIF(D18:U18, "✔✔✔✔") * 4) + (COUNTIF(D18:U18, "✔✔✔✔✔") * 5)</f>
        <v>10</v>
      </c>
      <c r="W18" s="5" t="n">
        <f aca="false">V18 / 10</f>
        <v>1</v>
      </c>
    </row>
    <row r="19" customFormat="false" ht="14.25" hidden="false" customHeight="false" outlineLevel="0" collapsed="false">
      <c r="A19" s="6" t="s">
        <v>48</v>
      </c>
      <c r="B19" s="6" t="s">
        <v>49</v>
      </c>
      <c r="C19" s="7"/>
      <c r="D19" s="5"/>
      <c r="E19" s="5" t="s">
        <v>6</v>
      </c>
      <c r="F19" s="5"/>
      <c r="G19" s="5"/>
      <c r="H19" s="5" t="s">
        <v>7</v>
      </c>
      <c r="I19" s="5" t="s">
        <v>7</v>
      </c>
      <c r="J19" s="5" t="s">
        <v>6</v>
      </c>
      <c r="K19" s="5"/>
      <c r="L19" s="5"/>
      <c r="M19" s="5"/>
      <c r="N19" s="5"/>
      <c r="O19" s="5" t="s">
        <v>6</v>
      </c>
      <c r="P19" s="5"/>
      <c r="Q19" s="5" t="s">
        <v>7</v>
      </c>
      <c r="R19" s="5"/>
      <c r="S19" s="5" t="s">
        <v>7</v>
      </c>
      <c r="T19" s="5" t="s">
        <v>19</v>
      </c>
      <c r="U19" s="5" t="s">
        <v>6</v>
      </c>
      <c r="V19" s="12" t="n">
        <f aca="false">COUNTIF(D19:U19, "✔") + (COUNTIF(D19:U19, "✔✔") * 2) + (COUNTIF(D19:U19, "✔✔✔") * 3) + (COUNTIF(D19:U19, "✔✔✔✔") * 4) + (COUNTIF(D19:U19, "✔✔✔✔✔") * 5)</f>
        <v>9</v>
      </c>
      <c r="W19" s="5" t="n">
        <f aca="false">V19 / 10</f>
        <v>0.9</v>
      </c>
    </row>
    <row r="20" customFormat="false" ht="14.25" hidden="false" customHeight="false" outlineLevel="0" collapsed="false">
      <c r="A20" s="6" t="s">
        <v>50</v>
      </c>
      <c r="B20" s="6" t="s">
        <v>51</v>
      </c>
      <c r="C20" s="7"/>
      <c r="D20" s="5" t="s">
        <v>7</v>
      </c>
      <c r="E20" s="5" t="s">
        <v>6</v>
      </c>
      <c r="F20" s="5"/>
      <c r="G20" s="5"/>
      <c r="H20" s="5" t="s">
        <v>7</v>
      </c>
      <c r="I20" s="5"/>
      <c r="J20" s="5" t="s">
        <v>6</v>
      </c>
      <c r="K20" s="5" t="s">
        <v>7</v>
      </c>
      <c r="L20" s="5"/>
      <c r="M20" s="5"/>
      <c r="N20" s="5"/>
      <c r="O20" s="5" t="s">
        <v>6</v>
      </c>
      <c r="P20" s="5"/>
      <c r="Q20" s="5"/>
      <c r="R20" s="5"/>
      <c r="S20" s="5"/>
      <c r="T20" s="5" t="s">
        <v>10</v>
      </c>
      <c r="U20" s="5" t="s">
        <v>6</v>
      </c>
      <c r="V20" s="12" t="n">
        <f aca="false">COUNTIF(D20:U20, "✔") + (COUNTIF(D20:U20, "✔✔") * 2) + (COUNTIF(D20:U20, "✔✔✔") * 3) + (COUNTIF(D20:U20, "✔✔✔✔") * 4) + (COUNTIF(D20:U20, "✔✔✔✔✔") * 5)</f>
        <v>5</v>
      </c>
      <c r="W20" s="5" t="n">
        <f aca="false">V20 / 10</f>
        <v>0.5</v>
      </c>
    </row>
  </sheetData>
  <mergeCells count="23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LibreOffice/25.8.7.2$Linux_X86_64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2025-10-07T17:17:22Z</dcterms:created>
  <dc:creator>JOSUE</dc:creator>
  <dc:description/>
  <dc:language>en-US</dc:language>
  <cp:lastModifiedBy/>
  <dcterms:modified xsi:type="dcterms:W3CDTF">2026-05-29T23:10:23Z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